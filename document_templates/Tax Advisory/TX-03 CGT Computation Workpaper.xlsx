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_rels/workbook.xml.rels" ContentType="application/vnd.openxmlformats-package.relationships+xml"/>
  <Override PartName="/xl/media/image1.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GT Computation" sheetId="1" state="visible" r:id="rId3"/>
  </sheets>
  <definedNames>
    <definedName function="false" hidden="false" localSheetId="0" name="_xlnm.Print_Area" vbProcedure="false">'CGT Computation'!$A$1:$F$43</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<sst xmlns="http://schemas.openxmlformats.org/spreadsheetml/2006/main" count="37" uniqueCount="36">
  <si>
    <t xml:space="preserve">NEVERLANK CHARTERED ACCOUNTANTS</t>
  </si>
  <si>
    <t xml:space="preserve">Capital Gains Tax (CGT) Computation Workpaper</t>
  </si>
  <si>
    <t xml:space="preserve">Audit · Assurance · Consulting   |   Template Ref: TX-03</t>
  </si>
  <si>
    <t xml:space="preserve">File reference:</t>
  </si>
  <si>
    <t xml:space="preserve">Client name:</t>
  </si>
  <si>
    <t xml:space="preserve">Asset / transaction description:</t>
  </si>
  <si>
    <t xml:space="preserve">Prepared by:</t>
  </si>
  <si>
    <t xml:space="preserve">Tax year:</t>
  </si>
  <si>
    <t xml:space="preserve">Date prepared:</t>
  </si>
  <si>
    <t xml:space="preserve">Reviewed by:</t>
  </si>
  <si>
    <t xml:space="preserve">Legend: blue text = input cells (fill these in). Yellow fill = key assumption - confirm the current CGT rate, inflation allowance rate and any exemptions against the Capital Gains Tax Act and any Finance Act amendments in force for this tax year before relying on this computation.</t>
  </si>
  <si>
    <t xml:space="preserve">1. Base Cost</t>
  </si>
  <si>
    <t xml:space="preserve">Original cost / base cost ($)</t>
  </si>
  <si>
    <t xml:space="preserve">Date of acquisition</t>
  </si>
  <si>
    <t xml:space="preserve">Improvements / capital expenditure incurred ($)</t>
  </si>
  <si>
    <t xml:space="preserve">Total base cost ($)</t>
  </si>
  <si>
    <t xml:space="preserve">2. Inflation Allowance</t>
  </si>
  <si>
    <t xml:space="preserve">Date of disposal</t>
  </si>
  <si>
    <t xml:space="preserve">Period held (years)</t>
  </si>
  <si>
    <t xml:space="preserve">Inflation allowance rate (% per annum)</t>
  </si>
  <si>
    <t xml:space="preserve">Inflation allowance ($)</t>
  </si>
  <si>
    <t xml:space="preserve">3. Disposal Proceeds</t>
  </si>
  <si>
    <t xml:space="preserve">Gross disposal proceeds ($)</t>
  </si>
  <si>
    <t xml:space="preserve">Selling expenses (agent's commission, legal fees, etc.) ($)</t>
  </si>
  <si>
    <t xml:space="preserve">Net disposal proceeds ($)</t>
  </si>
  <si>
    <t xml:space="preserve">4. Capital Gain / (Loss)</t>
  </si>
  <si>
    <t xml:space="preserve">Less: total base cost ($)</t>
  </si>
  <si>
    <t xml:space="preserve">Less: inflation allowance ($)</t>
  </si>
  <si>
    <t xml:space="preserve">Capital gain / (loss) ($)</t>
  </si>
  <si>
    <t xml:space="preserve">5. Tax Computation</t>
  </si>
  <si>
    <t xml:space="preserve">Applicable CGT rate (%)</t>
  </si>
  <si>
    <t xml:space="preserve">CGT due ($)</t>
  </si>
  <si>
    <t xml:space="preserve">Withholding tax already deducted at source ($)</t>
  </si>
  <si>
    <t xml:space="preserve">Balance of tax due / (refund) ($)</t>
  </si>
  <si>
    <t xml:space="preserve">Assumptions and notes:</t>
  </si>
  <si>
    <t xml:space="preserve">Inflation allowance is calculated on a straight-line basis as: base cost x rate x years held. Confirm this methodology, the current rate and the applicable CGT rate for this asset class against the Capital Gains Tax Act [Chapter 23:01] and the current Finance Act before filing.</t>
  </si>
</sst>
</file>

<file path=xl/styles.xml><?xml version="1.0" encoding="utf-8"?>
<styleSheet xmlns="http://schemas.openxmlformats.org/spreadsheetml/2006/main">
  <numFmts count="5">
    <numFmt numFmtId="164" formatCode="General"/>
    <numFmt numFmtId="165" formatCode="\$#,##0.00"/>
    <numFmt numFmtId="166" formatCode="0.00"/>
    <numFmt numFmtId="167" formatCode="0.0%"/>
    <numFmt numFmtId="168" formatCode="\$#,##0.00;&quot;($&quot;#,##0.00\)"/>
  </numFmts>
  <fonts count="11">
    <font>
      <sz val="11"/>
      <color theme="1"/>
      <name val="Calibri"/>
      <family val="2"/>
      <charset val="1"/>
    </font>
    <font>
      <sz val="10"/>
      <name val="Arial"/>
      <family val="0"/>
    </font>
    <font>
      <sz val="10"/>
      <name val="Arial"/>
      <family val="0"/>
    </font>
    <font>
      <sz val="10"/>
      <name val="Arial"/>
      <family val="0"/>
    </font>
    <font>
      <b val="true"/>
      <sz val="13"/>
      <color rgb="FFFFFFFF"/>
      <name val="Arial"/>
      <family val="0"/>
      <charset val="1"/>
    </font>
    <font>
      <b val="true"/>
      <sz val="11"/>
      <color rgb="FFFFFFFF"/>
      <name val="Arial"/>
      <family val="0"/>
      <charset val="1"/>
    </font>
    <font>
      <i val="true"/>
      <sz val="8"/>
      <color rgb="FF666666"/>
      <name val="Arial"/>
      <family val="0"/>
      <charset val="1"/>
    </font>
    <font>
      <b val="true"/>
      <sz val="10"/>
      <name val="Arial"/>
      <family val="0"/>
      <charset val="1"/>
    </font>
    <font>
      <sz val="10"/>
      <color rgb="FF0000FF"/>
      <name val="Arial"/>
      <family val="0"/>
      <charset val="1"/>
    </font>
    <font>
      <sz val="10"/>
      <color rgb="FF000000"/>
      <name val="Arial"/>
      <family val="0"/>
      <charset val="1"/>
    </font>
    <font>
      <b val="true"/>
      <sz val="11"/>
      <name val="Arial"/>
      <family val="0"/>
      <charset val="1"/>
    </font>
  </fonts>
  <fills count="7">
    <fill>
      <patternFill patternType="none"/>
    </fill>
    <fill>
      <patternFill patternType="gray125"/>
    </fill>
    <fill>
      <patternFill patternType="solid">
        <fgColor rgb="FF0F2942"/>
        <bgColor rgb="FF333333"/>
      </patternFill>
    </fill>
    <fill>
      <patternFill patternType="solid">
        <fgColor rgb="FFB8934A"/>
        <bgColor rgb="FF808000"/>
      </patternFill>
    </fill>
    <fill>
      <patternFill patternType="solid">
        <fgColor rgb="FFFFFF00"/>
        <bgColor rgb="FFFFFF00"/>
      </patternFill>
    </fill>
    <fill>
      <patternFill patternType="solid">
        <fgColor rgb="FF556677"/>
        <bgColor rgb="FF666666"/>
      </patternFill>
    </fill>
    <fill>
      <patternFill patternType="solid">
        <fgColor rgb="FFEEF1F4"/>
        <bgColor rgb="FFFFFFFF"/>
      </patternFill>
    </fill>
  </fills>
  <borders count="2">
    <border diagonalUp="false" diagonalDown="false">
      <left/>
      <right/>
      <top/>
      <bottom/>
      <diagonal/>
    </border>
    <border diagonalUp="false" diagonalDown="false">
      <left style="thin">
        <color rgb="FFCCCCCC"/>
      </left>
      <right style="thin">
        <color rgb="FFCCCCCC"/>
      </right>
      <top style="thin">
        <color rgb="FFCCCCCC"/>
      </top>
      <bottom style="thin">
        <color rgb="FFCCCCC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false" applyProtection="false">
      <alignment horizontal="general" vertical="bottom" textRotation="0" wrapText="false" indent="0" shrinkToFit="false"/>
      <protection locked="true" hidden="false"/>
    </xf>
    <xf numFmtId="164" fontId="5" fillId="3" borderId="0"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4" borderId="1"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general" vertical="bottom" textRotation="0" wrapText="true" indent="0" shrinkToFit="false"/>
      <protection locked="true" hidden="false"/>
    </xf>
    <xf numFmtId="164" fontId="5" fillId="5" borderId="0" xfId="0" applyFont="true" applyBorder="true" applyAlignment="false" applyProtection="false">
      <alignment horizontal="general" vertical="bottom" textRotation="0" wrapText="false" indent="0" shrinkToFit="false"/>
      <protection locked="true" hidden="false"/>
    </xf>
    <xf numFmtId="165" fontId="8" fillId="0" borderId="1" xfId="0" applyFont="tru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5" fontId="9" fillId="0" borderId="1" xfId="0" applyFont="true" applyBorder="true" applyAlignment="false" applyProtection="false">
      <alignment horizontal="general" vertical="bottom" textRotation="0" wrapText="false" indent="0" shrinkToFit="false"/>
      <protection locked="true" hidden="false"/>
    </xf>
    <xf numFmtId="166" fontId="9" fillId="0" borderId="1" xfId="0" applyFont="true" applyBorder="true" applyAlignment="false" applyProtection="false">
      <alignment horizontal="general" vertical="bottom" textRotation="0" wrapText="false" indent="0" shrinkToFit="false"/>
      <protection locked="true" hidden="false"/>
    </xf>
    <xf numFmtId="167" fontId="8" fillId="4" borderId="1" xfId="0" applyFont="true" applyBorder="true" applyAlignment="false" applyProtection="false">
      <alignment horizontal="general" vertical="bottom" textRotation="0" wrapText="false" indent="0" shrinkToFit="false"/>
      <protection locked="true" hidden="false"/>
    </xf>
    <xf numFmtId="168" fontId="9" fillId="0" borderId="1" xfId="0" applyFont="true" applyBorder="true" applyAlignment="false" applyProtection="false">
      <alignment horizontal="general" vertical="bottom" textRotation="0" wrapText="false" indent="0" shrinkToFit="false"/>
      <protection locked="true" hidden="false"/>
    </xf>
    <xf numFmtId="168" fontId="7" fillId="0" borderId="1" xfId="0" applyFont="true" applyBorder="true" applyAlignment="false" applyProtection="false">
      <alignment horizontal="general" vertical="bottom" textRotation="0" wrapText="false" indent="0" shrinkToFit="false"/>
      <protection locked="true" hidden="false"/>
    </xf>
    <xf numFmtId="168" fontId="10" fillId="6" borderId="1"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666666"/>
      <rgbColor rgb="FF9999FF"/>
      <rgbColor rgb="FF993366"/>
      <rgbColor rgb="FFEEF1F4"/>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56677"/>
      <rgbColor rgb="FFB8934A"/>
      <rgbColor rgb="FF0F2942"/>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0</xdr:col>
      <xdr:colOff>666360</xdr:colOff>
      <xdr:row>2</xdr:row>
      <xdr:rowOff>56880</xdr:rowOff>
    </xdr:to>
    <xdr:pic>
      <xdr:nvPicPr>
        <xdr:cNvPr id="0" name="Image 1" descr="Picture"/>
        <xdr:cNvPicPr/>
      </xdr:nvPicPr>
      <xdr:blipFill>
        <a:blip r:embed="rId1"/>
        <a:stretch/>
      </xdr:blipFill>
      <xdr:spPr>
        <a:xfrm>
          <a:off x="0" y="0"/>
          <a:ext cx="666360" cy="666360"/>
        </a:xfrm>
        <a:prstGeom prst="rect">
          <a:avLst/>
        </a:prstGeom>
        <a:ln w="0">
          <a:noFill/>
        </a:ln>
      </xdr:spPr>
    </xdr:pic>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4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6" min="2" style="0" width="18"/>
    <col collapsed="false" customWidth="true" hidden="false" outlineLevel="0" max="7" min="7" style="0" width="4"/>
  </cols>
  <sheetData>
    <row r="1" customFormat="false" ht="24" hidden="false" customHeight="true" outlineLevel="0" collapsed="false">
      <c r="B1" s="1" t="s">
        <v>0</v>
      </c>
      <c r="C1" s="1"/>
      <c r="D1" s="1"/>
      <c r="E1" s="1"/>
      <c r="F1" s="1"/>
    </row>
    <row r="2" customFormat="false" ht="24" hidden="false" customHeight="true" outlineLevel="0" collapsed="false">
      <c r="B2" s="2" t="s">
        <v>1</v>
      </c>
      <c r="C2" s="2"/>
      <c r="D2" s="2"/>
      <c r="E2" s="2"/>
      <c r="F2" s="2"/>
    </row>
    <row r="3" customFormat="false" ht="24" hidden="false" customHeight="true" outlineLevel="0" collapsed="false">
      <c r="B3" s="3" t="s">
        <v>2</v>
      </c>
      <c r="C3" s="3"/>
      <c r="D3" s="3"/>
      <c r="E3" s="3"/>
      <c r="F3" s="3"/>
    </row>
    <row r="5" customFormat="false" ht="15" hidden="false" customHeight="false" outlineLevel="0" collapsed="false">
      <c r="A5" s="4" t="s">
        <v>3</v>
      </c>
      <c r="B5" s="5"/>
      <c r="D5" s="4" t="s">
        <v>4</v>
      </c>
      <c r="E5" s="5"/>
    </row>
    <row r="6" customFormat="false" ht="15" hidden="false" customHeight="false" outlineLevel="0" collapsed="false">
      <c r="A6" s="4" t="s">
        <v>5</v>
      </c>
      <c r="B6" s="5"/>
      <c r="D6" s="4" t="s">
        <v>6</v>
      </c>
      <c r="E6" s="5"/>
    </row>
    <row r="7" customFormat="false" ht="15" hidden="false" customHeight="false" outlineLevel="0" collapsed="false">
      <c r="A7" s="4" t="s">
        <v>7</v>
      </c>
      <c r="B7" s="5"/>
      <c r="D7" s="4" t="s">
        <v>8</v>
      </c>
      <c r="E7" s="5"/>
    </row>
    <row r="8" customFormat="false" ht="15" hidden="false" customHeight="false" outlineLevel="0" collapsed="false">
      <c r="A8" s="4"/>
      <c r="D8" s="4" t="s">
        <v>9</v>
      </c>
      <c r="E8" s="5"/>
    </row>
    <row r="10" customFormat="false" ht="30" hidden="false" customHeight="true" outlineLevel="0" collapsed="false">
      <c r="A10" s="6" t="s">
        <v>10</v>
      </c>
      <c r="B10" s="6"/>
      <c r="C10" s="6"/>
      <c r="D10" s="6"/>
      <c r="E10" s="6"/>
      <c r="F10" s="6"/>
    </row>
    <row r="12" customFormat="false" ht="15" hidden="false" customHeight="false" outlineLevel="0" collapsed="false">
      <c r="A12" s="7" t="s">
        <v>11</v>
      </c>
      <c r="B12" s="7"/>
      <c r="C12" s="7"/>
      <c r="D12" s="7"/>
      <c r="E12" s="7"/>
      <c r="F12" s="7"/>
    </row>
    <row r="13" customFormat="false" ht="15" hidden="false" customHeight="false" outlineLevel="0" collapsed="false">
      <c r="A13" s="4" t="s">
        <v>12</v>
      </c>
      <c r="B13" s="8"/>
    </row>
    <row r="14" customFormat="false" ht="15" hidden="false" customHeight="false" outlineLevel="0" collapsed="false">
      <c r="A14" s="4" t="s">
        <v>13</v>
      </c>
      <c r="B14" s="9"/>
    </row>
    <row r="15" customFormat="false" ht="15" hidden="false" customHeight="false" outlineLevel="0" collapsed="false">
      <c r="A15" s="4" t="s">
        <v>14</v>
      </c>
      <c r="B15" s="8"/>
    </row>
    <row r="16" customFormat="false" ht="15" hidden="false" customHeight="false" outlineLevel="0" collapsed="false">
      <c r="A16" s="4" t="s">
        <v>15</v>
      </c>
      <c r="B16" s="10" t="n">
        <f aca="false">B13+B15</f>
        <v>0</v>
      </c>
    </row>
    <row r="18" customFormat="false" ht="15" hidden="false" customHeight="false" outlineLevel="0" collapsed="false">
      <c r="A18" s="7" t="s">
        <v>16</v>
      </c>
      <c r="B18" s="7"/>
      <c r="C18" s="7"/>
      <c r="D18" s="7"/>
      <c r="E18" s="7"/>
      <c r="F18" s="7"/>
    </row>
    <row r="19" customFormat="false" ht="15" hidden="false" customHeight="false" outlineLevel="0" collapsed="false">
      <c r="A19" s="4" t="s">
        <v>17</v>
      </c>
      <c r="B19" s="9"/>
    </row>
    <row r="20" customFormat="false" ht="15" hidden="false" customHeight="false" outlineLevel="0" collapsed="false">
      <c r="A20" s="4" t="s">
        <v>18</v>
      </c>
      <c r="B20" s="11" t="n">
        <f aca="false">IFERROR((B19-B14)/365,0)</f>
        <v>0</v>
      </c>
    </row>
    <row r="21" customFormat="false" ht="15" hidden="false" customHeight="false" outlineLevel="0" collapsed="false">
      <c r="A21" s="4" t="s">
        <v>19</v>
      </c>
      <c r="B21" s="12"/>
    </row>
    <row r="22" customFormat="false" ht="15" hidden="false" customHeight="false" outlineLevel="0" collapsed="false">
      <c r="A22" s="4" t="s">
        <v>20</v>
      </c>
      <c r="B22" s="10" t="n">
        <f aca="false">B16*B21*B20</f>
        <v>0</v>
      </c>
    </row>
    <row r="24" customFormat="false" ht="15" hidden="false" customHeight="false" outlineLevel="0" collapsed="false">
      <c r="A24" s="7" t="s">
        <v>21</v>
      </c>
      <c r="B24" s="7"/>
      <c r="C24" s="7"/>
      <c r="D24" s="7"/>
      <c r="E24" s="7"/>
      <c r="F24" s="7"/>
    </row>
    <row r="25" customFormat="false" ht="15" hidden="false" customHeight="false" outlineLevel="0" collapsed="false">
      <c r="A25" s="4" t="s">
        <v>22</v>
      </c>
      <c r="B25" s="8"/>
    </row>
    <row r="26" customFormat="false" ht="15" hidden="false" customHeight="false" outlineLevel="0" collapsed="false">
      <c r="A26" s="4" t="s">
        <v>23</v>
      </c>
      <c r="B26" s="8"/>
    </row>
    <row r="27" customFormat="false" ht="15" hidden="false" customHeight="false" outlineLevel="0" collapsed="false">
      <c r="A27" s="4" t="s">
        <v>24</v>
      </c>
      <c r="B27" s="10" t="n">
        <f aca="false">B25-B26</f>
        <v>0</v>
      </c>
    </row>
    <row r="29" customFormat="false" ht="15" hidden="false" customHeight="false" outlineLevel="0" collapsed="false">
      <c r="A29" s="7" t="s">
        <v>25</v>
      </c>
      <c r="B29" s="7"/>
      <c r="C29" s="7"/>
      <c r="D29" s="7"/>
      <c r="E29" s="7"/>
      <c r="F29" s="7"/>
    </row>
    <row r="30" customFormat="false" ht="15" hidden="false" customHeight="false" outlineLevel="0" collapsed="false">
      <c r="A30" s="4" t="s">
        <v>24</v>
      </c>
      <c r="B30" s="10" t="n">
        <f aca="false">B27</f>
        <v>0</v>
      </c>
    </row>
    <row r="31" customFormat="false" ht="15" hidden="false" customHeight="false" outlineLevel="0" collapsed="false">
      <c r="A31" s="4" t="s">
        <v>26</v>
      </c>
      <c r="B31" s="13" t="n">
        <f aca="false">-B16</f>
        <v>-0</v>
      </c>
    </row>
    <row r="32" customFormat="false" ht="15" hidden="false" customHeight="false" outlineLevel="0" collapsed="false">
      <c r="A32" s="4" t="s">
        <v>27</v>
      </c>
      <c r="B32" s="13" t="n">
        <f aca="false">-B22</f>
        <v>-0</v>
      </c>
    </row>
    <row r="33" customFormat="false" ht="15" hidden="false" customHeight="false" outlineLevel="0" collapsed="false">
      <c r="A33" s="4" t="s">
        <v>28</v>
      </c>
      <c r="B33" s="14" t="n">
        <f aca="false">B27-B16-B22</f>
        <v>0</v>
      </c>
    </row>
    <row r="35" customFormat="false" ht="15" hidden="false" customHeight="false" outlineLevel="0" collapsed="false">
      <c r="A35" s="7" t="s">
        <v>29</v>
      </c>
      <c r="B35" s="7"/>
      <c r="C35" s="7"/>
      <c r="D35" s="7"/>
      <c r="E35" s="7"/>
      <c r="F35" s="7"/>
    </row>
    <row r="36" customFormat="false" ht="15" hidden="false" customHeight="false" outlineLevel="0" collapsed="false">
      <c r="A36" s="4" t="s">
        <v>30</v>
      </c>
      <c r="B36" s="12"/>
    </row>
    <row r="37" customFormat="false" ht="15" hidden="false" customHeight="false" outlineLevel="0" collapsed="false">
      <c r="A37" s="4" t="s">
        <v>31</v>
      </c>
      <c r="B37" s="10" t="n">
        <f aca="false">IF(B33&gt;0,B33*B36,0)</f>
        <v>0</v>
      </c>
    </row>
    <row r="38" customFormat="false" ht="15" hidden="false" customHeight="false" outlineLevel="0" collapsed="false">
      <c r="A38" s="4" t="s">
        <v>32</v>
      </c>
      <c r="B38" s="8"/>
    </row>
    <row r="39" customFormat="false" ht="15" hidden="false" customHeight="false" outlineLevel="0" collapsed="false">
      <c r="A39" s="4" t="s">
        <v>33</v>
      </c>
      <c r="B39" s="15" t="n">
        <f aca="false">B37-B38</f>
        <v>0</v>
      </c>
    </row>
    <row r="42" customFormat="false" ht="15" hidden="false" customHeight="false" outlineLevel="0" collapsed="false">
      <c r="A42" s="16" t="s">
        <v>34</v>
      </c>
      <c r="B42" s="16"/>
      <c r="C42" s="16"/>
      <c r="D42" s="16"/>
      <c r="E42" s="16"/>
      <c r="F42" s="16"/>
    </row>
    <row r="43" customFormat="false" ht="30" hidden="false" customHeight="true" outlineLevel="0" collapsed="false">
      <c r="A43" s="6" t="s">
        <v>35</v>
      </c>
      <c r="B43" s="6"/>
      <c r="C43" s="6"/>
      <c r="D43" s="6"/>
      <c r="E43" s="6"/>
      <c r="F43" s="6"/>
    </row>
  </sheetData>
  <mergeCells count="11">
    <mergeCell ref="B1:F1"/>
    <mergeCell ref="B2:F2"/>
    <mergeCell ref="B3:F3"/>
    <mergeCell ref="A10:F10"/>
    <mergeCell ref="A12:F12"/>
    <mergeCell ref="A18:F18"/>
    <mergeCell ref="A24:F24"/>
    <mergeCell ref="A29:F29"/>
    <mergeCell ref="A35:F35"/>
    <mergeCell ref="A42:F42"/>
    <mergeCell ref="A43:F43"/>
  </mergeCells>
  <printOptions headings="false" gridLines="false" gridLinesSet="true" horizontalCentered="false" verticalCentered="false"/>
  <pageMargins left="0.4" right="0.4" top="0.5" bottom="0.5"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2026-09-14T12:07:39Z</dcterms:created>
  <dc:creator>openpyxl</dc:creator>
  <dc:description/>
  <dc:language>en-US</dc:language>
  <cp:lastModifiedBy/>
  <dcterms:modified xsi:type="dcterms:W3CDTF">2026-09-14T12:07:39Z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